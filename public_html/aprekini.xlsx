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21E11390-17D8-468B-8203-138C85729F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7" i="3"/>
  <c r="B4" i="3"/>
  <c r="F8" i="8"/>
  <c r="F14" i="8"/>
  <c r="F13" i="8"/>
  <c r="F12" i="8"/>
  <c r="F11" i="8"/>
  <c r="F16" i="8"/>
  <c r="F15" i="8"/>
  <c r="B9" i="4"/>
  <c r="B10" i="4"/>
  <c r="B11" i="4"/>
  <c r="B12" i="4"/>
  <c r="B13" i="4"/>
  <c r="B5" i="4"/>
  <c r="B6" i="4"/>
  <c r="B7" i="4"/>
  <c r="B8" i="4"/>
  <c r="B4" i="4"/>
  <c r="E4" i="5"/>
  <c r="E5" i="5"/>
  <c r="E6" i="5"/>
  <c r="E7" i="5"/>
  <c r="E8" i="5"/>
  <c r="E9" i="5"/>
  <c r="E10" i="5"/>
  <c r="E11" i="5"/>
  <c r="E12" i="5"/>
  <c r="E13" i="5"/>
  <c r="E14" i="5"/>
  <c r="E15" i="5"/>
  <c r="G6" i="6"/>
  <c r="G7" i="6"/>
  <c r="G8" i="6"/>
  <c r="G5" i="6"/>
  <c r="F6" i="6"/>
  <c r="F7" i="6"/>
  <c r="F8" i="6"/>
  <c r="E6" i="6"/>
  <c r="E7" i="6"/>
  <c r="E8" i="6"/>
  <c r="E5" i="6"/>
  <c r="D6" i="6"/>
  <c r="D7" i="6"/>
  <c r="D8" i="6"/>
  <c r="D5" i="6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  <c r="F7" i="8" l="1"/>
</calcChain>
</file>

<file path=xl/sharedStrings.xml><?xml version="1.0" encoding="utf-8"?>
<sst xmlns="http://schemas.openxmlformats.org/spreadsheetml/2006/main" count="55" uniqueCount="53">
  <si>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</si>
  <si>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</si>
  <si>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</si>
  <si>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</si>
  <si>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</si>
  <si>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</si>
  <si>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</si>
  <si>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</si>
  <si>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</si>
  <si>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</si>
  <si>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</si>
  <si>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</si>
  <si>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</si>
  <si>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</si>
  <si>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</si>
  <si>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</si>
  <si>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</si>
  <si>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</si>
  <si>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</si>
  <si>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</si>
  <si>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</si>
  <si>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</si>
  <si>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</si>
  <si>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</si>
  <si>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</si>
  <si>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</si>
  <si>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</si>
  <si>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</si>
  <si>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</si>
  <si>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</si>
  <si>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</si>
  <si>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</si>
  <si>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</si>
  <si>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</si>
  <si>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</si>
  <si>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</si>
  <si>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</si>
  <si>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</si>
  <si>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</si>
  <si>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</si>
  <si>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</si>
  <si>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</si>
  <si>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</si>
  <si>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</si>
  <si>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</si>
  <si>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</si>
  <si>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</si>
  <si>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</si>
  <si>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</si>
  <si>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</si>
  <si>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</si>
  <si>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</si>
  <si>
    <t>jā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</si>
</sst>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activeCell="F9" sqref="F9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>
        <f>IF(A4&lt;3,3.2*A4,2.9*A4)</f>
        <v>3.2</v>
      </c>
    </row>
    <row r="5" spans="1:22" x14ac:dyDescent="0.25">
      <c r="A5" s="4">
        <v>2</v>
      </c>
      <c r="B5" s="24">
        <f t="shared" ref="B5:B7" si="0">IF(A5&lt;3,3.2*A5,2.9*A5)</f>
        <v>6.4</v>
      </c>
    </row>
    <row r="6" spans="1:22" x14ac:dyDescent="0.25">
      <c r="A6" s="4">
        <v>3</v>
      </c>
      <c r="B6" s="24">
        <f t="shared" si="0"/>
        <v>8.6999999999999993</v>
      </c>
    </row>
    <row r="7" spans="1:22" x14ac:dyDescent="0.25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F26" sqref="F26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7" t="s">
        <v>50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8" t="s">
        <v>51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8" t="s">
        <v>36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39" t="s">
        <v>37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SQRT(($A9)^2+(B$8)^2-2*$A9*B$8*COS(RADIANS(24)))</f>
        <v>1.160094034735804</v>
      </c>
      <c r="C9" s="31">
        <f t="shared" ref="C9:K18" si="0">SQRT(($A9)^2+(C$8)^2-2*$A9*C$8*COS(RADIANS(24)))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25">
      <c r="A10" s="28">
        <v>4</v>
      </c>
      <c r="B10" s="31">
        <f t="shared" ref="B10:B18" si="1">SQRT(($A10)^2+(B$8)^2-2*$A10*B$8*COS(RADIANS(24)))</f>
        <v>3.1131393060477062</v>
      </c>
      <c r="C10" s="31">
        <f t="shared" si="0"/>
        <v>1.7535418491092758</v>
      </c>
      <c r="D10" s="31">
        <f t="shared" si="0"/>
        <v>2.1114406679554047</v>
      </c>
      <c r="E10" s="31">
        <f t="shared" si="0"/>
        <v>3.7204105112224317</v>
      </c>
      <c r="F10" s="31">
        <f t="shared" si="0"/>
        <v>5.5879090051407188</v>
      </c>
      <c r="G10" s="31">
        <f t="shared" si="0"/>
        <v>7.5238287944005693</v>
      </c>
      <c r="H10" s="31">
        <f t="shared" si="0"/>
        <v>9.4863729847170521</v>
      </c>
      <c r="I10" s="31">
        <f t="shared" si="0"/>
        <v>11.461873541567622</v>
      </c>
      <c r="J10" s="31">
        <f t="shared" si="0"/>
        <v>13.444620402250347</v>
      </c>
      <c r="K10" s="31">
        <f t="shared" si="0"/>
        <v>15.431820710412776</v>
      </c>
    </row>
    <row r="11" spans="1:13" x14ac:dyDescent="0.25">
      <c r="A11" s="28">
        <v>6</v>
      </c>
      <c r="B11" s="31">
        <f t="shared" si="1"/>
        <v>5.1026909085588157</v>
      </c>
      <c r="C11" s="31">
        <f t="shared" si="0"/>
        <v>3.4802821042074115</v>
      </c>
      <c r="D11" s="31">
        <f t="shared" si="0"/>
        <v>2.487422871456308</v>
      </c>
      <c r="E11" s="31">
        <f t="shared" si="0"/>
        <v>2.8744010781415881</v>
      </c>
      <c r="F11" s="31">
        <f t="shared" si="0"/>
        <v>4.2821829216649654</v>
      </c>
      <c r="G11" s="31">
        <f t="shared" si="0"/>
        <v>6.0342356260902408</v>
      </c>
      <c r="H11" s="31">
        <f t="shared" si="0"/>
        <v>7.9048661347143794</v>
      </c>
      <c r="I11" s="31">
        <f t="shared" si="0"/>
        <v>9.8265872826903564</v>
      </c>
      <c r="J11" s="31">
        <f t="shared" si="0"/>
        <v>11.774409821341765</v>
      </c>
      <c r="K11" s="31">
        <f t="shared" si="0"/>
        <v>13.737235371700049</v>
      </c>
    </row>
    <row r="12" spans="1:13" x14ac:dyDescent="0.25">
      <c r="A12" s="28">
        <v>8</v>
      </c>
      <c r="B12" s="31">
        <f t="shared" si="1"/>
        <v>7.0981175446535394</v>
      </c>
      <c r="C12" s="31">
        <f t="shared" si="0"/>
        <v>5.39905714297924</v>
      </c>
      <c r="D12" s="31">
        <f t="shared" si="0"/>
        <v>3.9895317254775571</v>
      </c>
      <c r="E12" s="31">
        <f t="shared" si="0"/>
        <v>3.2684719279854169</v>
      </c>
      <c r="F12" s="31">
        <f t="shared" si="0"/>
        <v>3.6673497378168705</v>
      </c>
      <c r="G12" s="31">
        <f t="shared" si="0"/>
        <v>4.9209754576610374</v>
      </c>
      <c r="H12" s="31">
        <f t="shared" si="0"/>
        <v>6.5561074434712419</v>
      </c>
      <c r="I12" s="31">
        <f t="shared" si="0"/>
        <v>8.3515920737171889</v>
      </c>
      <c r="J12" s="31">
        <f t="shared" si="0"/>
        <v>10.223288879867015</v>
      </c>
      <c r="K12" s="31">
        <f t="shared" si="0"/>
        <v>12.1359870169941</v>
      </c>
    </row>
    <row r="13" spans="1:13" x14ac:dyDescent="0.25">
      <c r="A13" s="28">
        <v>10</v>
      </c>
      <c r="B13" s="31">
        <f t="shared" si="1"/>
        <v>9.095553355741913</v>
      </c>
      <c r="C13" s="31">
        <f t="shared" si="0"/>
        <v>7.3612004823563897</v>
      </c>
      <c r="D13" s="31">
        <f t="shared" si="0"/>
        <v>5.8004701736790203</v>
      </c>
      <c r="E13" s="31">
        <f t="shared" si="0"/>
        <v>4.5938693853913479</v>
      </c>
      <c r="F13" s="31">
        <f t="shared" si="0"/>
        <v>4.0696213121532372</v>
      </c>
      <c r="G13" s="31">
        <f t="shared" si="0"/>
        <v>4.4743713880977527</v>
      </c>
      <c r="H13" s="31">
        <f t="shared" si="0"/>
        <v>5.6105419535837875</v>
      </c>
      <c r="I13" s="31">
        <f t="shared" si="0"/>
        <v>7.1369715361082786</v>
      </c>
      <c r="J13" s="31">
        <f t="shared" si="0"/>
        <v>8.8540693695902171</v>
      </c>
      <c r="K13" s="31">
        <f t="shared" si="0"/>
        <v>10.67017929070602</v>
      </c>
    </row>
    <row r="14" spans="1:13" x14ac:dyDescent="0.25">
      <c r="A14" s="28">
        <v>12</v>
      </c>
      <c r="B14" s="31">
        <f t="shared" si="1"/>
        <v>11.093913151660129</v>
      </c>
      <c r="C14" s="31">
        <f t="shared" si="0"/>
        <v>9.3394179181431181</v>
      </c>
      <c r="D14" s="31">
        <f t="shared" si="0"/>
        <v>7.7054879847345097</v>
      </c>
      <c r="E14" s="31">
        <f t="shared" si="0"/>
        <v>6.2868404716553012</v>
      </c>
      <c r="F14" s="31">
        <f t="shared" si="0"/>
        <v>5.2606255473278276</v>
      </c>
      <c r="G14" s="31">
        <f t="shared" si="0"/>
        <v>4.8809834236917213</v>
      </c>
      <c r="H14" s="31">
        <f t="shared" si="0"/>
        <v>5.2890280029045522</v>
      </c>
      <c r="I14" s="31">
        <f t="shared" si="0"/>
        <v>6.3343220038662125</v>
      </c>
      <c r="J14" s="31">
        <f t="shared" si="0"/>
        <v>7.7635979598262832</v>
      </c>
      <c r="K14" s="31">
        <f t="shared" si="0"/>
        <v>9.4033648932163629</v>
      </c>
    </row>
    <row r="15" spans="1:13" x14ac:dyDescent="0.25">
      <c r="A15" s="28">
        <v>14</v>
      </c>
      <c r="B15" s="31">
        <f t="shared" si="1"/>
        <v>13.092773853771675</v>
      </c>
      <c r="C15" s="31">
        <f t="shared" si="0"/>
        <v>11.325289469060891</v>
      </c>
      <c r="D15" s="31">
        <f t="shared" si="0"/>
        <v>9.649022537544198</v>
      </c>
      <c r="E15" s="31">
        <f t="shared" si="0"/>
        <v>8.1206582431506273</v>
      </c>
      <c r="F15" s="31">
        <f t="shared" si="0"/>
        <v>6.8400690547731005</v>
      </c>
      <c r="G15" s="31">
        <f t="shared" si="0"/>
        <v>5.9689194203037212</v>
      </c>
      <c r="H15" s="31">
        <f t="shared" si="0"/>
        <v>5.6981973832163169</v>
      </c>
      <c r="I15" s="31">
        <f t="shared" si="0"/>
        <v>6.1082655304192244</v>
      </c>
      <c r="J15" s="31">
        <f t="shared" si="0"/>
        <v>7.0818332486808782</v>
      </c>
      <c r="K15" s="31">
        <f t="shared" si="0"/>
        <v>8.4257828439935682</v>
      </c>
    </row>
    <row r="16" spans="1:13" x14ac:dyDescent="0.25">
      <c r="A16" s="28">
        <v>16</v>
      </c>
      <c r="B16" s="31">
        <f t="shared" si="1"/>
        <v>15.091936434912412</v>
      </c>
      <c r="C16" s="31">
        <f t="shared" si="0"/>
        <v>13.315390946807019</v>
      </c>
      <c r="D16" s="31">
        <f t="shared" si="0"/>
        <v>11.611749514056177</v>
      </c>
      <c r="E16" s="31">
        <f t="shared" si="0"/>
        <v>10.01827417712539</v>
      </c>
      <c r="F16" s="31">
        <f t="shared" si="0"/>
        <v>8.5964474173306584</v>
      </c>
      <c r="G16" s="31">
        <f t="shared" si="0"/>
        <v>7.4452668796897079</v>
      </c>
      <c r="H16" s="31">
        <f t="shared" si="0"/>
        <v>6.7056013615989762</v>
      </c>
      <c r="I16" s="31">
        <f t="shared" si="0"/>
        <v>6.5190628415096263</v>
      </c>
      <c r="J16" s="31">
        <f t="shared" si="0"/>
        <v>6.930459655926521</v>
      </c>
      <c r="K16" s="31">
        <f t="shared" si="0"/>
        <v>7.8462960531258776</v>
      </c>
    </row>
    <row r="17" spans="1:11" x14ac:dyDescent="0.25">
      <c r="A17" s="28">
        <v>18</v>
      </c>
      <c r="B17" s="31">
        <f t="shared" si="1"/>
        <v>17.091294963368526</v>
      </c>
      <c r="C17" s="31">
        <f t="shared" si="0"/>
        <v>15.308072725676446</v>
      </c>
      <c r="D17" s="31">
        <f t="shared" si="0"/>
        <v>13.585353054828271</v>
      </c>
      <c r="E17" s="31">
        <f t="shared" si="0"/>
        <v>11.949332394492362</v>
      </c>
      <c r="F17" s="31">
        <f t="shared" si="0"/>
        <v>10.440846312622236</v>
      </c>
      <c r="G17" s="31">
        <f t="shared" si="0"/>
        <v>9.1233765007002798</v>
      </c>
      <c r="H17" s="31">
        <f t="shared" si="0"/>
        <v>8.0907802975524437</v>
      </c>
      <c r="I17" s="31">
        <f t="shared" si="0"/>
        <v>7.4622686143689263</v>
      </c>
      <c r="J17" s="31">
        <f t="shared" si="0"/>
        <v>7.3423552027076626</v>
      </c>
      <c r="K17" s="31">
        <f t="shared" si="0"/>
        <v>7.7546700105459649</v>
      </c>
    </row>
    <row r="18" spans="1:11" x14ac:dyDescent="0.25">
      <c r="A18" s="28">
        <v>20</v>
      </c>
      <c r="B18" s="31">
        <f t="shared" si="1"/>
        <v>19.090787875158426</v>
      </c>
      <c r="C18" s="31">
        <f t="shared" si="0"/>
        <v>17.302443326966511</v>
      </c>
      <c r="D18" s="31">
        <f t="shared" si="0"/>
        <v>15.565696530238531</v>
      </c>
      <c r="E18" s="31">
        <f t="shared" si="0"/>
        <v>13.899901865123788</v>
      </c>
      <c r="F18" s="31">
        <f t="shared" si="0"/>
        <v>12.333841058188794</v>
      </c>
      <c r="G18" s="31">
        <f t="shared" si="0"/>
        <v>10.910545295137894</v>
      </c>
      <c r="H18" s="31">
        <f t="shared" si="0"/>
        <v>9.6931089969032929</v>
      </c>
      <c r="I18" s="31">
        <f t="shared" si="0"/>
        <v>8.7677092455463832</v>
      </c>
      <c r="J18" s="31">
        <f t="shared" si="0"/>
        <v>8.2334129498666222</v>
      </c>
      <c r="K18" s="31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6" sqref="G6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x14ac:dyDescent="0.25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str">
        <f>IF(A5+B5&gt;C5,"jā","nē")</f>
        <v>jā</v>
      </c>
      <c r="E5" s="22" t="str">
        <f>IF(A5+C5&gt;B5,"jā","nē")</f>
        <v>jā</v>
      </c>
      <c r="F5" s="22" t="s">
        <v>52</v>
      </c>
      <c r="G5" s="23" t="str">
        <f>IF(AND(D5="jā",E5="jā",F5="jā"),"jā","nē")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str">
        <f t="shared" ref="D6:D8" si="0">IF(A6+B6&gt;C6,"jā","nē")</f>
        <v>jā</v>
      </c>
      <c r="E6" s="22" t="str">
        <f t="shared" ref="E6:E8" si="1">IF(A6+C6&gt;B6,"jā","nē")</f>
        <v>jā</v>
      </c>
      <c r="F6" s="22" t="str">
        <f t="shared" ref="F6:F8" si="2">IF(B6+C6&gt;A6,"jā","nē")</f>
        <v>nē</v>
      </c>
      <c r="G6" s="23" t="str">
        <f t="shared" ref="G6:G8" si="3">IF(AND(D6="jā",E6="jā",F6="jā"),"jā","nē")</f>
        <v>nē</v>
      </c>
    </row>
    <row r="7" spans="1:22" x14ac:dyDescent="0.25">
      <c r="A7" s="8">
        <v>1</v>
      </c>
      <c r="B7" s="8">
        <v>2</v>
      </c>
      <c r="C7" s="8">
        <v>3</v>
      </c>
      <c r="D7" s="22" t="str">
        <f t="shared" si="0"/>
        <v>nē</v>
      </c>
      <c r="E7" s="22" t="str">
        <f t="shared" si="1"/>
        <v>jā</v>
      </c>
      <c r="F7" s="22" t="str">
        <f t="shared" si="2"/>
        <v>jā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str">
        <f t="shared" si="0"/>
        <v>jā</v>
      </c>
      <c r="E8" s="22" t="str">
        <f t="shared" si="1"/>
        <v>jā</v>
      </c>
      <c r="F8" s="22" t="str">
        <f t="shared" si="2"/>
        <v>jā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G9" sqref="G9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IF(OR(C4="s",C4="š"),D4,D4&amp;C4)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IF(OR(C5="s",C5="š"),D5,D5&amp;C5)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4" sqref="B4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>IF(AND(RIGHT(A4,1)="1",A4&lt;&gt;11),"cents","centi")</f>
        <v>centi</v>
      </c>
    </row>
    <row r="5" spans="1:22" x14ac:dyDescent="0.25">
      <c r="A5" s="8">
        <v>1</v>
      </c>
      <c r="B5" s="23" t="str">
        <f t="shared" ref="B5:B13" si="0">IF(AND(RIGHT(A5,1)="1",A5&lt;&gt;11),"cents","centi")</f>
        <v>cents</v>
      </c>
    </row>
    <row r="6" spans="1:22" x14ac:dyDescent="0.25">
      <c r="A6" s="8">
        <v>2</v>
      </c>
      <c r="B6" s="23" t="str">
        <f t="shared" si="0"/>
        <v>centi</v>
      </c>
    </row>
    <row r="7" spans="1:22" x14ac:dyDescent="0.25">
      <c r="A7" s="8">
        <v>9</v>
      </c>
      <c r="B7" s="23" t="str">
        <f t="shared" si="0"/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>IF(AND(RIGHT(A9,1)="1",A9&lt;&gt;11),"cents","centi")</f>
        <v>centi</v>
      </c>
    </row>
    <row r="10" spans="1:22" x14ac:dyDescent="0.25">
      <c r="A10" s="8">
        <v>12</v>
      </c>
      <c r="B10" s="23" t="str">
        <f t="shared" si="0"/>
        <v>centi</v>
      </c>
    </row>
    <row r="11" spans="1:22" x14ac:dyDescent="0.25">
      <c r="A11" s="8">
        <v>21</v>
      </c>
      <c r="B11" s="23" t="str">
        <f t="shared" si="0"/>
        <v>cents</v>
      </c>
    </row>
    <row r="12" spans="1:22" x14ac:dyDescent="0.25">
      <c r="A12" s="8">
        <v>99</v>
      </c>
      <c r="B12" s="23" t="str">
        <f t="shared" si="0"/>
        <v>centi</v>
      </c>
    </row>
    <row r="13" spans="1:22" x14ac:dyDescent="0.25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F25" sqref="F25"/>
    </sheetView>
  </sheetViews>
  <sheetFormatPr defaultRowHeight="15" x14ac:dyDescent="0.25"/>
  <cols>
    <col min="1" max="1" width="26.85546875" customWidth="1"/>
    <col min="6" max="6" width="10.85546875" bestFit="1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1">
        <f>F16-F15</f>
        <v>2000.0000000000005</v>
      </c>
    </row>
    <row r="8" spans="1:8" ht="18" customHeight="1" x14ac:dyDescent="0.25">
      <c r="A8" s="43" t="s">
        <v>46</v>
      </c>
      <c r="B8" s="43"/>
      <c r="C8" s="43"/>
      <c r="F8" s="46">
        <f>2*(F14-F13+F12*B2+F11*B2+B2^2)</f>
        <v>1165.685424949238</v>
      </c>
    </row>
    <row r="9" spans="1:8" ht="18" customHeight="1" x14ac:dyDescent="0.25"/>
    <row r="10" spans="1:8" ht="18" customHeight="1" x14ac:dyDescent="0.25">
      <c r="A10" s="43" t="s">
        <v>45</v>
      </c>
      <c r="B10" s="43"/>
      <c r="C10" s="43"/>
    </row>
    <row r="11" spans="1:8" ht="18" customHeight="1" x14ac:dyDescent="0.25">
      <c r="A11" s="43" t="s">
        <v>44</v>
      </c>
      <c r="B11" s="43"/>
      <c r="C11" s="43"/>
      <c r="F11" s="46">
        <f>B2*SQRT(2)/2</f>
        <v>7.0710678118654755</v>
      </c>
    </row>
    <row r="12" spans="1:8" ht="18" customHeight="1" x14ac:dyDescent="0.25">
      <c r="A12" s="43" t="s">
        <v>43</v>
      </c>
      <c r="B12" s="43"/>
      <c r="C12" s="43"/>
      <c r="F12" s="46">
        <f>3*B2*SQRT(2)/2</f>
        <v>21.213203435596427</v>
      </c>
    </row>
    <row r="13" spans="1:8" ht="18" customHeight="1" x14ac:dyDescent="0.25">
      <c r="A13" s="43" t="s">
        <v>42</v>
      </c>
      <c r="B13" s="43"/>
      <c r="C13" s="43"/>
      <c r="F13" s="46">
        <f>(F11^2)/2</f>
        <v>25.000000000000004</v>
      </c>
    </row>
    <row r="14" spans="1:8" ht="18" customHeight="1" x14ac:dyDescent="0.25">
      <c r="A14" s="43" t="s">
        <v>41</v>
      </c>
      <c r="B14" s="43"/>
      <c r="C14" s="43"/>
      <c r="F14" s="46">
        <f>(F12^2)/2</f>
        <v>225.00000000000003</v>
      </c>
    </row>
    <row r="15" spans="1:8" ht="18" customHeight="1" x14ac:dyDescent="0.25">
      <c r="A15" s="43" t="s">
        <v>40</v>
      </c>
      <c r="B15" s="43"/>
      <c r="C15" s="43"/>
      <c r="D15" s="43"/>
      <c r="E15" s="44"/>
      <c r="F15" s="31">
        <f>F13*B2</f>
        <v>250.00000000000003</v>
      </c>
    </row>
    <row r="16" spans="1:8" ht="18" customHeight="1" x14ac:dyDescent="0.25">
      <c r="A16" s="43" t="s">
        <v>39</v>
      </c>
      <c r="B16" s="43"/>
      <c r="C16" s="43"/>
      <c r="F16" s="31">
        <f>F14*B2</f>
        <v>2250.0000000000005</v>
      </c>
    </row>
    <row r="19" spans="1:3" ht="19.5" x14ac:dyDescent="0.25">
      <c r="A19" s="43"/>
      <c r="B19" s="43"/>
      <c r="C19" s="43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Tomass Draška</cp:lastModifiedBy>
  <dcterms:created xsi:type="dcterms:W3CDTF">2021-10-27T13:59:32Z</dcterms:created>
  <dcterms:modified xsi:type="dcterms:W3CDTF">2025-11-21T18:44:20Z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